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<sst xmlns="http://schemas.openxmlformats.org/spreadsheetml/2006/main" count="15" uniqueCount="12">
  <si>
    <t>cms_id</t>
  </si>
  <si>
    <t>created_at</t>
  </si>
  <si>
    <t>closed_at</t>
  </si>
  <si>
    <t>outlet</t>
  </si>
  <si>
    <t>Same Day</t>
  </si>
  <si>
    <t>Same Hour</t>
  </si>
  <si>
    <t>A</t>
  </si>
  <si>
    <t>B</t>
  </si>
  <si>
    <t>feedback</t>
  </si>
  <si>
    <t>Good</t>
  </si>
  <si>
    <t>Bad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</si>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</sst>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44207.416666666664</v>
      </c>
      <c r="C2" s="2">
        <v>44207.4375</v>
      </c>
      <c r="D2" s="1" t="s">
        <v>6</v>
      </c>
      <c r="E2" s="3" t="b">
        <f t="shared" ref="E2:E4" si="1">INT(B2)=INT(C2)</f>
        <v>1</v>
      </c>
      <c r="F2" s="3" t="b">
        <f t="shared" ref="F2:F4" si="2">HOUR(B2)=HOUR(C2)</f>
        <v>1</v>
      </c>
    </row>
    <row r="3">
      <c r="A3" s="1">
        <v>2.0</v>
      </c>
      <c r="B3" s="2">
        <v>44207.458333333336</v>
      </c>
      <c r="C3" s="2">
        <v>44207.5</v>
      </c>
      <c r="D3" s="1" t="s">
        <v>7</v>
      </c>
      <c r="E3" s="3" t="b">
        <f t="shared" si="1"/>
        <v>1</v>
      </c>
      <c r="F3" s="3" t="b">
        <f t="shared" si="2"/>
        <v>0</v>
      </c>
    </row>
    <row r="4">
      <c r="A4" s="1">
        <v>3.0</v>
      </c>
      <c r="B4" s="2">
        <v>44238.375</v>
      </c>
      <c r="C4" s="2">
        <v>44238.40625</v>
      </c>
      <c r="D4" s="1" t="s">
        <v>6</v>
      </c>
      <c r="E4" s="3" t="b">
        <f t="shared" si="1"/>
        <v>1</v>
      </c>
      <c r="F4" s="3" t="b">
        <f t="shared" si="2"/>
        <v>1</v>
      </c>
    </row>
    <row r="7">
      <c r="G7" s="3">
        <f>COUNTIFS(E:E, TRUE, F:F, TRUE)</f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</v>
      </c>
    </row>
    <row r="2">
      <c r="A2" s="1">
        <v>1.0</v>
      </c>
      <c r="B2" s="1" t="s">
        <v>9</v>
      </c>
      <c r="C2" s="4">
        <f>VLOOKUP(A2, ticket!A:D, 2, FALSE)</f>
        <v>44207.41667</v>
      </c>
    </row>
    <row r="3">
      <c r="A3" s="1">
        <v>2.0</v>
      </c>
      <c r="B3" s="1" t="s">
        <v>10</v>
      </c>
      <c r="C3" s="4">
        <f>VLOOKUP(A3, ticket!A:D, 2, FALSE)</f>
        <v>44207.45833</v>
      </c>
    </row>
    <row r="4">
      <c r="A4" s="1">
        <v>3.0</v>
      </c>
      <c r="B4" s="1" t="s">
        <v>11</v>
      </c>
      <c r="C4" s="4">
        <f>VLOOKUP(A4, ticket!A:D, 2, FALSE)</f>
        <v>44238.375</v>
      </c>
    </row>
  </sheetData>
  <drawing r:id="rId1"/>
</worksheet>
</file>